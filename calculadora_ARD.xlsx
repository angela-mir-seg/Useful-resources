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royectos\IPD TLI\"/>
    </mc:Choice>
  </mc:AlternateContent>
  <xr:revisionPtr revIDLastSave="0" documentId="13_ncr:1_{EECE16A5-0F87-498F-A83E-D7FCB31391F6}" xr6:coauthVersionLast="47" xr6:coauthVersionMax="47" xr10:uidLastSave="{00000000-0000-0000-0000-000000000000}"/>
  <bookViews>
    <workbookView xWindow="19035" yWindow="0" windowWidth="9870" windowHeight="15585" xr2:uid="{645D1E83-23AD-42F0-A0DA-F2470CC3CC72}"/>
  </bookViews>
  <sheets>
    <sheet name="CALCULADORA" sheetId="3" r:id="rId1"/>
    <sheet name="ejemp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3" i="3"/>
  <c r="G2" i="3"/>
  <c r="G1" i="3"/>
  <c r="A13" i="2"/>
  <c r="D7" i="3"/>
  <c r="D8" i="3" s="1"/>
  <c r="D9" i="3" s="1"/>
  <c r="D10" i="3" s="1"/>
  <c r="C7" i="3"/>
  <c r="C8" i="3" s="1"/>
  <c r="C9" i="3" s="1"/>
  <c r="C10" i="3" s="1"/>
  <c r="B7" i="3"/>
  <c r="B8" i="3" s="1"/>
  <c r="B9" i="3" s="1"/>
  <c r="B10" i="3" s="1"/>
  <c r="B8" i="2"/>
  <c r="B9" i="2" s="1"/>
  <c r="B10" i="2" s="1"/>
  <c r="D8" i="2"/>
  <c r="D9" i="2" s="1"/>
  <c r="D10" i="2" s="1"/>
  <c r="C8" i="2"/>
  <c r="C9" i="2" s="1"/>
  <c r="C10" i="2" s="1"/>
  <c r="B7" i="2"/>
  <c r="D7" i="2"/>
  <c r="C7" i="2"/>
</calcChain>
</file>

<file path=xl/sharedStrings.xml><?xml version="1.0" encoding="utf-8"?>
<sst xmlns="http://schemas.openxmlformats.org/spreadsheetml/2006/main" count="28" uniqueCount="14">
  <si>
    <t>CALCULADORA ARD</t>
  </si>
  <si>
    <t>OR</t>
  </si>
  <si>
    <t>odd_b</t>
  </si>
  <si>
    <t xml:space="preserve">odd_exp </t>
  </si>
  <si>
    <t>rexp</t>
  </si>
  <si>
    <t>ARD</t>
  </si>
  <si>
    <t>LCI</t>
  </si>
  <si>
    <t>UCI</t>
  </si>
  <si>
    <t>overall</t>
  </si>
  <si>
    <t>rb</t>
  </si>
  <si>
    <t>live birth</t>
  </si>
  <si>
    <t>clinical pregnancy</t>
  </si>
  <si>
    <t>miscarriage</t>
  </si>
  <si>
    <t>biochem pregn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</si>
</sst>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B055-8729-4E69-800A-24E931C9E09C}">
  <dimension ref="A1:G10"/>
  <sheetViews>
    <sheetView tabSelected="1" workbookViewId="0">
      <selection activeCell="E3" sqref="E3"/>
    </sheetView>
  </sheetViews>
  <sheetFormatPr baseColWidth="10" defaultRowHeight="15" x14ac:dyDescent="0.25"/>
  <sheetData>
    <row r="1" spans="1:7" x14ac:dyDescent="0.25">
      <c r="A1" t="s">
        <v>0</v>
      </c>
      <c r="F1" t="s">
        <v>10</v>
      </c>
      <c r="G1" s="2">
        <f>561/1458</f>
        <v>0.38477366255144035</v>
      </c>
    </row>
    <row r="2" spans="1:7" x14ac:dyDescent="0.25">
      <c r="A2" t="s">
        <v>9</v>
      </c>
      <c r="B2" t="s">
        <v>1</v>
      </c>
      <c r="C2" t="s">
        <v>6</v>
      </c>
      <c r="D2" t="s">
        <v>7</v>
      </c>
      <c r="F2" t="s">
        <v>11</v>
      </c>
      <c r="G2" s="2">
        <f>664/1455</f>
        <v>0.45635738831615119</v>
      </c>
    </row>
    <row r="3" spans="1:7" x14ac:dyDescent="0.25">
      <c r="A3">
        <v>0.06</v>
      </c>
      <c r="B3">
        <v>1.2</v>
      </c>
      <c r="C3">
        <v>0.82</v>
      </c>
      <c r="D3">
        <v>1.77</v>
      </c>
      <c r="F3" t="s">
        <v>12</v>
      </c>
      <c r="G3" s="2">
        <f>101/1453</f>
        <v>6.9511355815554024E-2</v>
      </c>
    </row>
    <row r="4" spans="1:7" x14ac:dyDescent="0.25">
      <c r="F4" t="s">
        <v>13</v>
      </c>
      <c r="G4" s="2">
        <f>89/1453</f>
        <v>6.125258086717137E-2</v>
      </c>
    </row>
    <row r="6" spans="1:7" x14ac:dyDescent="0.25">
      <c r="B6" t="s">
        <v>6</v>
      </c>
      <c r="C6" t="s">
        <v>8</v>
      </c>
      <c r="D6" t="s">
        <v>7</v>
      </c>
    </row>
    <row r="7" spans="1:7" x14ac:dyDescent="0.25">
      <c r="A7" t="s">
        <v>2</v>
      </c>
      <c r="B7" s="1">
        <f t="shared" ref="B7:D7" si="0">$A$3/(1-$A$3)</f>
        <v>6.3829787234042548E-2</v>
      </c>
      <c r="C7" s="1">
        <f>$A$3/(1-$A$3)</f>
        <v>6.3829787234042548E-2</v>
      </c>
      <c r="D7" s="1">
        <f t="shared" si="0"/>
        <v>6.3829787234042548E-2</v>
      </c>
    </row>
    <row r="8" spans="1:7" x14ac:dyDescent="0.25">
      <c r="A8" t="s">
        <v>3</v>
      </c>
      <c r="B8" s="1">
        <f>B3*B7</f>
        <v>7.6595744680851049E-2</v>
      </c>
      <c r="C8" s="1">
        <f>C3*C7</f>
        <v>5.2340425531914883E-2</v>
      </c>
      <c r="D8" s="1">
        <f t="shared" ref="D8" si="1">D3*D7</f>
        <v>0.11297872340425531</v>
      </c>
    </row>
    <row r="9" spans="1:7" x14ac:dyDescent="0.25">
      <c r="A9" t="s">
        <v>4</v>
      </c>
      <c r="B9" s="1">
        <f>B8/(1+B8)</f>
        <v>7.1146245059288529E-2</v>
      </c>
      <c r="C9" s="1">
        <f>C8/(1+C8)</f>
        <v>4.9737161342498983E-2</v>
      </c>
      <c r="D9" s="1">
        <f t="shared" ref="D9" si="2">D8/(1+D8)</f>
        <v>0.10151022748996366</v>
      </c>
    </row>
    <row r="10" spans="1:7" x14ac:dyDescent="0.25">
      <c r="A10" t="s">
        <v>5</v>
      </c>
      <c r="B10" s="3">
        <f>B9-$A$3</f>
        <v>1.1146245059288531E-2</v>
      </c>
      <c r="C10" s="3">
        <f>C9-$A$3</f>
        <v>-1.0262838657501015E-2</v>
      </c>
      <c r="D10" s="3">
        <f t="shared" ref="D10" si="3">D9-$A$3</f>
        <v>4.1510227489963664E-2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679D-D791-49FF-9193-4CB200E69E98}">
  <dimension ref="A1:D13"/>
  <sheetViews>
    <sheetView workbookViewId="0">
      <selection activeCell="A13" sqref="A13"/>
    </sheetView>
  </sheetViews>
  <sheetFormatPr baseColWidth="10" defaultRowHeight="15" x14ac:dyDescent="0.25"/>
  <sheetData>
    <row r="1" spans="1:4" x14ac:dyDescent="0.25">
      <c r="A1" t="s">
        <v>0</v>
      </c>
    </row>
    <row r="2" spans="1:4" x14ac:dyDescent="0.25">
      <c r="A2" t="s">
        <v>9</v>
      </c>
      <c r="B2" t="s">
        <v>1</v>
      </c>
      <c r="C2" t="s">
        <v>6</v>
      </c>
      <c r="D2" t="s">
        <v>7</v>
      </c>
    </row>
    <row r="3" spans="1:4" x14ac:dyDescent="0.25">
      <c r="A3">
        <v>0.39</v>
      </c>
      <c r="B3">
        <v>0.97</v>
      </c>
      <c r="C3">
        <v>0.78</v>
      </c>
      <c r="D3">
        <v>1.21</v>
      </c>
    </row>
    <row r="6" spans="1:4" x14ac:dyDescent="0.25">
      <c r="B6" t="s">
        <v>6</v>
      </c>
      <c r="C6" t="s">
        <v>8</v>
      </c>
      <c r="D6" t="s">
        <v>7</v>
      </c>
    </row>
    <row r="7" spans="1:4" x14ac:dyDescent="0.25">
      <c r="A7" t="s">
        <v>2</v>
      </c>
      <c r="B7" s="1">
        <f t="shared" ref="B7:D7" si="0">$A$3/(1-$A$3)</f>
        <v>0.63934426229508201</v>
      </c>
      <c r="C7" s="1">
        <f>$A$3/(1-$A$3)</f>
        <v>0.63934426229508201</v>
      </c>
      <c r="D7" s="1">
        <f t="shared" si="0"/>
        <v>0.63934426229508201</v>
      </c>
    </row>
    <row r="8" spans="1:4" x14ac:dyDescent="0.25">
      <c r="A8" t="s">
        <v>3</v>
      </c>
      <c r="B8" s="1">
        <f>B3*B7</f>
        <v>0.62016393442622952</v>
      </c>
      <c r="C8" s="1">
        <f>C3*C7</f>
        <v>0.498688524590164</v>
      </c>
      <c r="D8" s="1">
        <f t="shared" ref="C8:D8" si="1">D3*D7</f>
        <v>0.7736065573770492</v>
      </c>
    </row>
    <row r="9" spans="1:4" x14ac:dyDescent="0.25">
      <c r="A9" t="s">
        <v>4</v>
      </c>
      <c r="B9" s="1">
        <f>B8/(1+B8)</f>
        <v>0.38277850855003542</v>
      </c>
      <c r="C9" s="1">
        <f>C8/(1+C8)</f>
        <v>0.33274994530737262</v>
      </c>
      <c r="D9" s="1">
        <f t="shared" ref="C9:D9" si="2">D8/(1+D8)</f>
        <v>0.43617709584989373</v>
      </c>
    </row>
    <row r="10" spans="1:4" x14ac:dyDescent="0.25">
      <c r="A10" t="s">
        <v>5</v>
      </c>
      <c r="B10" s="3">
        <f>B9-$A$3</f>
        <v>-7.2214914499645899E-3</v>
      </c>
      <c r="C10" s="3">
        <f>C9-$A$3</f>
        <v>-5.7250054692627395E-2</v>
      </c>
      <c r="D10" s="3">
        <f t="shared" ref="C10:D10" si="3">D9-$A$3</f>
        <v>4.6177095849893712E-2</v>
      </c>
    </row>
    <row r="13" spans="1:4" x14ac:dyDescent="0.25">
      <c r="A13">
        <f>(0.26+0.45)/2</f>
        <v>0.35499999999999998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CALCULADORA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Ángela Miranda</dc:creator>
  <cp:lastModifiedBy>Ángela Miranda</cp:lastModifiedBy>
  <dcterms:created xsi:type="dcterms:W3CDTF">2025-12-17T13:23:48Z</dcterms:created>
  <dcterms:modified xsi:type="dcterms:W3CDTF">2025-12-18T09:00:06Z</dcterms:modified>
</cp:coreProperties>
</file>